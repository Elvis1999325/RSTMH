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 activeTab="1"/>
  </bookViews>
  <sheets>
    <sheet name="Sheet1" sheetId="1" r:id="rId1"/>
    <sheet name="Nakivaale qualitativ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<sst xmlns="http://schemas.openxmlformats.org/spreadsheetml/2006/main" count="53" uniqueCount="52">
  <si>
    <t>No</t>
  </si>
  <si>
    <t>Item</t>
  </si>
  <si>
    <t>Unit cost</t>
  </si>
  <si>
    <t>TL Units</t>
  </si>
  <si>
    <t>Total</t>
  </si>
  <si>
    <t>Quantitative</t>
  </si>
  <si>
    <t>Planned</t>
  </si>
  <si>
    <t>Saved</t>
  </si>
  <si>
    <t>Research Participants renumeration</t>
  </si>
  <si>
    <t>RA's collection and transcribing</t>
  </si>
  <si>
    <t>Transport ( to and from Isingiro)</t>
  </si>
  <si>
    <t>Accomodation (3)</t>
  </si>
  <si>
    <t>Food</t>
  </si>
  <si>
    <t>Transport btn HCs</t>
  </si>
  <si>
    <t>stationary</t>
  </si>
  <si>
    <t>Celine/Mable</t>
  </si>
  <si>
    <t>TOTAL</t>
  </si>
  <si>
    <t>NAKIVAALE QUALITATIVE EXPENDITURE</t>
  </si>
  <si>
    <t>DATE</t>
  </si>
  <si>
    <t>ITEM</t>
  </si>
  <si>
    <t>COST</t>
  </si>
  <si>
    <t xml:space="preserve">UNITS </t>
  </si>
  <si>
    <t>Sat 26/04</t>
  </si>
  <si>
    <t>transport to Global and to Mbarara</t>
  </si>
  <si>
    <t>Airtime for calls and coordination to in charges and among team</t>
  </si>
  <si>
    <t>Rent in Mbarara</t>
  </si>
  <si>
    <t>sun 27/04</t>
  </si>
  <si>
    <t>transport to nakivaale Isingiro</t>
  </si>
  <si>
    <t>Lunch (3RAs plus Celine +Mable)</t>
  </si>
  <si>
    <t>Printing stationary</t>
  </si>
  <si>
    <t>Transport from rent to Nakivaale HC III for planning meeting. (to and froom)</t>
  </si>
  <si>
    <t>Rent in Nakivaale</t>
  </si>
  <si>
    <t>Mon 28/04</t>
  </si>
  <si>
    <t>Transport</t>
  </si>
  <si>
    <t>Extra fuel</t>
  </si>
  <si>
    <t>Food allowance</t>
  </si>
  <si>
    <t>Mable allowance</t>
  </si>
  <si>
    <t>Celine allowance</t>
  </si>
  <si>
    <t>Kenneth allowance</t>
  </si>
  <si>
    <t>18 interview refund (participants)</t>
  </si>
  <si>
    <t>RAs Interview payments</t>
  </si>
  <si>
    <t>Rent in Isingiro</t>
  </si>
  <si>
    <t>Tue 29/04</t>
  </si>
  <si>
    <t>Transport to district and then to mbarara</t>
  </si>
  <si>
    <t>2 interviews done ( Participant reimbursement)</t>
  </si>
  <si>
    <t>RA interview payment</t>
  </si>
  <si>
    <t>2 Phone call interviews for in charges</t>
  </si>
  <si>
    <t>RAs refund for interviews</t>
  </si>
  <si>
    <t>Airtime for 2 interviews</t>
  </si>
  <si>
    <t>Lunch allowance</t>
  </si>
  <si>
    <t>Accomodation</t>
  </si>
  <si>
    <t>Transport to Kampala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</si>
</sst>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3" fontId="0" fillId="0" borderId="1" xfId="0" applyNumberFormat="1" applyBorder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3" fontId="0" fillId="0" borderId="1" xfId="0" applyNumberFormat="1" applyBorder="1">
      <alignment vertical="center"/>
    </xf>
    <xf numFmtId="4" fontId="0" fillId="0" borderId="1" xfId="0" applyNumberFormat="1" applyBorder="1">
      <alignment vertical="center"/>
    </xf>
    <xf numFmtId="4" fontId="0" fillId="3" borderId="1" xfId="0" applyNumberFormat="1" applyFill="1" applyBorder="1">
      <alignment vertical="center"/>
    </xf>
    <xf numFmtId="3" fontId="0" fillId="4" borderId="1" xfId="0" applyNumberFormat="1" applyFill="1" applyBorder="1">
      <alignment vertical="center"/>
    </xf>
    <xf numFmtId="0" fontId="1" fillId="0" borderId="1" xfId="0" applyFont="1" applyFill="1" applyBorder="1">
      <alignment vertical="center"/>
    </xf>
    <xf numFmtId="3" fontId="1" fillId="0" borderId="1" xfId="0" applyNumberFormat="1" applyFont="1" applyFill="1" applyBorder="1">
      <alignment vertical="center"/>
    </xf>
    <xf numFmtId="3" fontId="0" fillId="0" borderId="1" xfId="0" applyNumberFormat="1" applyFill="1" applyBorder="1">
      <alignment vertical="center"/>
    </xf>
    <xf numFmtId="4" fontId="1" fillId="5" borderId="1" xfId="0" applyNumberFormat="1" applyFont="1" applyFill="1" applyBorder="1">
      <alignment vertical="center"/>
    </xf>
    <xf numFmtId="3" fontId="1" fillId="2" borderId="1" xfId="0" applyNumberFormat="1" applyFont="1" applyFill="1" applyBorder="1">
      <alignment vertical="center"/>
    </xf>
    <xf numFmtId="3" fontId="0" fillId="2" borderId="1" xfId="0" applyNumberFormat="1" applyFill="1" applyBorder="1">
      <alignment vertical="center"/>
    </xf>
    <xf numFmtId="4" fontId="0" fillId="5" borderId="1" xfId="0" applyNumberFormat="1" applyFont="1" applyFill="1" applyBorder="1">
      <alignment vertical="center"/>
    </xf>
    <xf numFmtId="4" fontId="1" fillId="4" borderId="0" xfId="0" applyNumberFormat="1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2"/>
  <sheetViews>
    <sheetView workbookViewId="0">
      <selection activeCell="N10" sqref="N10"/>
    </sheetView>
  </sheetViews>
  <sheetFormatPr defaultColWidth="9.14285714285714" defaultRowHeight="15" outlineLevelCol="7"/>
  <cols>
    <col min="2" max="2" width="21.7142857142857" style="12" customWidth="1"/>
    <col min="5" max="5" width="9.71428571428571"/>
    <col min="6" max="6" width="13" customWidth="1"/>
    <col min="7" max="7" width="12.5714285714286" customWidth="1"/>
    <col min="8" max="8" width="13.4285714285714"/>
  </cols>
  <sheetData>
    <row r="2" s="11" customFormat="1" spans="1:8">
      <c r="A2" s="13" t="s">
        <v>0</v>
      </c>
      <c r="B2" s="14" t="s">
        <v>1</v>
      </c>
      <c r="C2" s="13" t="s">
        <v>2</v>
      </c>
      <c r="D2" s="13" t="s">
        <v>3</v>
      </c>
      <c r="E2" s="13" t="s">
        <v>4</v>
      </c>
      <c r="F2" s="15" t="s">
        <v>5</v>
      </c>
      <c r="G2" s="15" t="s">
        <v>6</v>
      </c>
      <c r="H2" s="15" t="s">
        <v>7</v>
      </c>
    </row>
    <row r="3" ht="30" spans="1:8">
      <c r="A3" s="16">
        <v>1</v>
      </c>
      <c r="B3" s="17" t="s">
        <v>8</v>
      </c>
      <c r="C3" s="18">
        <v>20000</v>
      </c>
      <c r="D3" s="16">
        <v>25</v>
      </c>
      <c r="E3" s="18">
        <f t="shared" ref="E3:E9" si="0">D3*C3</f>
        <v>500000</v>
      </c>
      <c r="F3" s="18">
        <v>3000000</v>
      </c>
      <c r="G3" s="19">
        <v>1949824</v>
      </c>
      <c r="H3" s="20">
        <f>G3-(F3+E3)</f>
        <v>-1550176</v>
      </c>
    </row>
    <row r="4" ht="30" spans="1:8">
      <c r="A4" s="16">
        <v>2</v>
      </c>
      <c r="B4" s="17" t="s">
        <v>9</v>
      </c>
      <c r="C4" s="18">
        <v>60000</v>
      </c>
      <c r="D4" s="16">
        <v>25</v>
      </c>
      <c r="E4" s="18">
        <f t="shared" si="0"/>
        <v>1500000</v>
      </c>
      <c r="F4" s="18">
        <v>1500000</v>
      </c>
      <c r="G4" s="18">
        <v>6035172</v>
      </c>
      <c r="H4" s="21">
        <f>G4-(F4+E4+E6+E7+E8+F7)</f>
        <v>2085172</v>
      </c>
    </row>
    <row r="5" ht="30" spans="1:8">
      <c r="A5" s="16">
        <v>3</v>
      </c>
      <c r="B5" s="17" t="s">
        <v>10</v>
      </c>
      <c r="C5" s="18">
        <v>150000</v>
      </c>
      <c r="D5" s="16">
        <v>3</v>
      </c>
      <c r="E5" s="18">
        <f t="shared" si="0"/>
        <v>450000</v>
      </c>
      <c r="F5" s="18">
        <v>400000</v>
      </c>
      <c r="G5" s="18">
        <v>4642440</v>
      </c>
      <c r="H5" s="21">
        <f>G5-(F5+E5+E8)</f>
        <v>3592440</v>
      </c>
    </row>
    <row r="6" spans="1:8">
      <c r="A6" s="16">
        <v>4</v>
      </c>
      <c r="B6" s="17" t="s">
        <v>11</v>
      </c>
      <c r="C6" s="18">
        <v>60000</v>
      </c>
      <c r="D6" s="16">
        <v>5</v>
      </c>
      <c r="E6" s="18">
        <f t="shared" si="0"/>
        <v>300000</v>
      </c>
      <c r="F6" s="16">
        <v>0</v>
      </c>
      <c r="G6" s="16"/>
      <c r="H6" s="16"/>
    </row>
    <row r="7" spans="1:8">
      <c r="A7" s="16">
        <v>5</v>
      </c>
      <c r="B7" s="17" t="s">
        <v>12</v>
      </c>
      <c r="C7" s="18">
        <v>50000</v>
      </c>
      <c r="D7" s="16">
        <v>5</v>
      </c>
      <c r="E7" s="18">
        <f t="shared" si="0"/>
        <v>250000</v>
      </c>
      <c r="F7" s="18">
        <v>200000</v>
      </c>
      <c r="G7" s="16"/>
      <c r="H7" s="16"/>
    </row>
    <row r="8" spans="1:8">
      <c r="A8" s="16">
        <v>6</v>
      </c>
      <c r="B8" s="17" t="s">
        <v>13</v>
      </c>
      <c r="C8" s="18">
        <v>200000</v>
      </c>
      <c r="D8" s="16">
        <v>1</v>
      </c>
      <c r="E8" s="18">
        <f t="shared" si="0"/>
        <v>200000</v>
      </c>
      <c r="F8" s="16">
        <v>0</v>
      </c>
      <c r="G8" s="16"/>
      <c r="H8" s="16"/>
    </row>
    <row r="9" spans="1:8">
      <c r="A9" s="16">
        <v>7</v>
      </c>
      <c r="B9" s="17" t="s">
        <v>14</v>
      </c>
      <c r="C9" s="16">
        <v>500</v>
      </c>
      <c r="D9" s="16">
        <v>60</v>
      </c>
      <c r="E9" s="18">
        <f t="shared" si="0"/>
        <v>30000</v>
      </c>
      <c r="F9" s="18">
        <v>110000</v>
      </c>
      <c r="G9" s="19">
        <v>882063.6</v>
      </c>
      <c r="H9" s="19">
        <f>G9-F9</f>
        <v>772063.6</v>
      </c>
    </row>
    <row r="10" spans="1:8">
      <c r="A10" s="16">
        <v>8</v>
      </c>
      <c r="B10" s="17" t="s">
        <v>15</v>
      </c>
      <c r="C10" s="18">
        <v>20000</v>
      </c>
      <c r="D10" s="22">
        <v>5</v>
      </c>
      <c r="E10" s="23">
        <f>(C10*D10)</f>
        <v>100000</v>
      </c>
      <c r="F10" s="24"/>
      <c r="G10" s="19"/>
      <c r="H10" s="25"/>
    </row>
    <row r="11" spans="1:8">
      <c r="A11" s="16"/>
      <c r="B11" s="17"/>
      <c r="C11" s="16"/>
      <c r="D11" s="13" t="s">
        <v>16</v>
      </c>
      <c r="E11" s="26">
        <f>SUM(E3:E10)</f>
        <v>3330000</v>
      </c>
      <c r="F11" s="27">
        <f>SUM(F3:F10)</f>
        <v>5210000</v>
      </c>
      <c r="G11" s="19">
        <f>SUM(G3:G9)</f>
        <v>13509499.6</v>
      </c>
      <c r="H11" s="28">
        <f>SUM(H3:H9)</f>
        <v>4899499.6</v>
      </c>
    </row>
    <row r="12" spans="8:8">
      <c r="H12" s="29">
        <f>G11-(F11+E11)</f>
        <v>4969499.6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I6" sqref="I6"/>
    </sheetView>
  </sheetViews>
  <sheetFormatPr defaultColWidth="9.14285714285714" defaultRowHeight="15" outlineLevelCol="4"/>
  <cols>
    <col min="1" max="1" width="11" customWidth="1"/>
    <col min="2" max="2" width="27.4285714285714" style="2" customWidth="1"/>
    <col min="5" max="5" width="9.71428571428571"/>
  </cols>
  <sheetData>
    <row r="1" spans="1:5">
      <c r="A1" s="3" t="s">
        <v>17</v>
      </c>
      <c r="B1" s="4"/>
      <c r="C1" s="5"/>
      <c r="D1" s="5"/>
      <c r="E1" s="5"/>
    </row>
    <row r="2" s="1" customFormat="1" spans="1:5">
      <c r="A2" s="6" t="s">
        <v>18</v>
      </c>
      <c r="B2" s="7" t="s">
        <v>19</v>
      </c>
      <c r="C2" s="6" t="s">
        <v>20</v>
      </c>
      <c r="D2" s="6" t="s">
        <v>21</v>
      </c>
      <c r="E2" s="6" t="s">
        <v>16</v>
      </c>
    </row>
    <row r="3" ht="30" spans="1:5">
      <c r="A3" s="8" t="s">
        <v>22</v>
      </c>
      <c r="B3" s="9" t="s">
        <v>23</v>
      </c>
      <c r="C3" s="10">
        <v>45000</v>
      </c>
      <c r="D3" s="8">
        <v>3</v>
      </c>
      <c r="E3" s="10">
        <f>(C3*D3)</f>
        <v>135000</v>
      </c>
    </row>
    <row r="4" ht="45" spans="1:5">
      <c r="A4" s="8"/>
      <c r="B4" s="9" t="s">
        <v>24</v>
      </c>
      <c r="C4" s="10">
        <v>20000</v>
      </c>
      <c r="D4" s="8">
        <v>1</v>
      </c>
      <c r="E4" s="10">
        <v>20000</v>
      </c>
    </row>
    <row r="5" spans="1:5">
      <c r="A5" s="8"/>
      <c r="B5" s="9" t="s">
        <v>25</v>
      </c>
      <c r="C5" s="10">
        <v>30000</v>
      </c>
      <c r="D5" s="8">
        <v>3</v>
      </c>
      <c r="E5" s="10">
        <f>(C5*D5)</f>
        <v>90000</v>
      </c>
    </row>
    <row r="6" spans="1:5">
      <c r="A6" s="8"/>
      <c r="B6" s="9"/>
      <c r="C6" s="8"/>
      <c r="D6" s="8"/>
      <c r="E6" s="10">
        <f>(C6*D6)</f>
        <v>0</v>
      </c>
    </row>
    <row r="7" spans="1:5">
      <c r="A7" s="8" t="s">
        <v>26</v>
      </c>
      <c r="B7" s="9" t="s">
        <v>27</v>
      </c>
      <c r="C7" s="10">
        <v>90000</v>
      </c>
      <c r="D7" s="8">
        <v>1</v>
      </c>
      <c r="E7" s="10">
        <f>(C7*D7)</f>
        <v>90000</v>
      </c>
    </row>
    <row r="8" ht="30" spans="1:5">
      <c r="A8" s="8"/>
      <c r="B8" s="9" t="s">
        <v>28</v>
      </c>
      <c r="C8" s="10">
        <v>10000</v>
      </c>
      <c r="D8" s="8">
        <v>5</v>
      </c>
      <c r="E8" s="10">
        <f>(C8*D8)</f>
        <v>50000</v>
      </c>
    </row>
    <row r="9" spans="1:5">
      <c r="A9" s="8"/>
      <c r="B9" s="9" t="s">
        <v>29</v>
      </c>
      <c r="C9" s="8">
        <v>27300</v>
      </c>
      <c r="D9" s="8">
        <v>1</v>
      </c>
      <c r="E9" s="10">
        <v>27300</v>
      </c>
    </row>
    <row r="10" ht="45" spans="1:5">
      <c r="A10" s="8"/>
      <c r="B10" s="9" t="s">
        <v>30</v>
      </c>
      <c r="C10" s="8">
        <v>1000</v>
      </c>
      <c r="D10" s="8">
        <v>6</v>
      </c>
      <c r="E10" s="10">
        <f t="shared" ref="E10:E23" si="0">(C10*D10)</f>
        <v>6000</v>
      </c>
    </row>
    <row r="11" spans="1:5">
      <c r="A11" s="8"/>
      <c r="B11" s="9" t="s">
        <v>31</v>
      </c>
      <c r="C11" s="10">
        <v>20000</v>
      </c>
      <c r="D11" s="8">
        <v>3</v>
      </c>
      <c r="E11" s="10">
        <f t="shared" si="0"/>
        <v>60000</v>
      </c>
    </row>
    <row r="12" spans="1:5">
      <c r="A12" s="8"/>
      <c r="B12" s="9"/>
      <c r="C12" s="8"/>
      <c r="D12" s="8"/>
      <c r="E12" s="10">
        <f t="shared" si="0"/>
        <v>0</v>
      </c>
    </row>
    <row r="13" spans="1:5">
      <c r="A13" s="8" t="s">
        <v>32</v>
      </c>
      <c r="B13" s="9" t="s">
        <v>33</v>
      </c>
      <c r="C13" s="10">
        <v>100000</v>
      </c>
      <c r="D13" s="8">
        <v>1</v>
      </c>
      <c r="E13" s="10">
        <f t="shared" si="0"/>
        <v>100000</v>
      </c>
    </row>
    <row r="14" spans="1:5">
      <c r="A14" s="8"/>
      <c r="B14" s="9" t="s">
        <v>34</v>
      </c>
      <c r="C14" s="10">
        <v>40000</v>
      </c>
      <c r="D14" s="8">
        <v>1</v>
      </c>
      <c r="E14" s="10">
        <f t="shared" si="0"/>
        <v>40000</v>
      </c>
    </row>
    <row r="15" spans="1:5">
      <c r="A15" s="8"/>
      <c r="B15" s="9" t="s">
        <v>35</v>
      </c>
      <c r="C15" s="10">
        <v>10000</v>
      </c>
      <c r="D15" s="8">
        <v>5</v>
      </c>
      <c r="E15" s="10">
        <f t="shared" si="0"/>
        <v>50000</v>
      </c>
    </row>
    <row r="16" spans="1:5">
      <c r="A16" s="8"/>
      <c r="B16" s="9" t="s">
        <v>36</v>
      </c>
      <c r="C16" s="10">
        <v>50000</v>
      </c>
      <c r="D16" s="8">
        <v>1</v>
      </c>
      <c r="E16" s="10">
        <f t="shared" si="0"/>
        <v>50000</v>
      </c>
    </row>
    <row r="17" spans="1:5">
      <c r="A17" s="8"/>
      <c r="B17" s="9" t="s">
        <v>37</v>
      </c>
      <c r="C17" s="10">
        <v>50000</v>
      </c>
      <c r="D17" s="8">
        <v>1</v>
      </c>
      <c r="E17" s="10">
        <f t="shared" si="0"/>
        <v>50000</v>
      </c>
    </row>
    <row r="18" spans="1:5">
      <c r="A18" s="8"/>
      <c r="B18" s="9" t="s">
        <v>38</v>
      </c>
      <c r="C18" s="10">
        <v>50000</v>
      </c>
      <c r="D18" s="8">
        <v>1</v>
      </c>
      <c r="E18" s="10">
        <f t="shared" si="0"/>
        <v>50000</v>
      </c>
    </row>
    <row r="19" ht="30" spans="1:5">
      <c r="A19" s="8"/>
      <c r="B19" s="9" t="s">
        <v>39</v>
      </c>
      <c r="C19" s="10">
        <v>20000</v>
      </c>
      <c r="D19" s="8">
        <v>18</v>
      </c>
      <c r="E19" s="10">
        <f t="shared" si="0"/>
        <v>360000</v>
      </c>
    </row>
    <row r="20" spans="1:5">
      <c r="A20" s="8"/>
      <c r="B20" s="9" t="s">
        <v>40</v>
      </c>
      <c r="C20" s="10">
        <v>60000</v>
      </c>
      <c r="D20" s="8">
        <v>18</v>
      </c>
      <c r="E20" s="10">
        <f t="shared" si="0"/>
        <v>1080000</v>
      </c>
    </row>
    <row r="21" spans="1:5">
      <c r="A21" s="8"/>
      <c r="B21" s="9" t="s">
        <v>41</v>
      </c>
      <c r="C21" s="10">
        <v>30000</v>
      </c>
      <c r="D21" s="8">
        <v>3</v>
      </c>
      <c r="E21" s="10">
        <f t="shared" si="0"/>
        <v>90000</v>
      </c>
    </row>
    <row r="22" spans="1:5">
      <c r="A22" s="8"/>
      <c r="B22" s="9"/>
      <c r="C22" s="8"/>
      <c r="D22" s="8"/>
      <c r="E22" s="10">
        <f t="shared" si="0"/>
        <v>0</v>
      </c>
    </row>
    <row r="23" ht="30" spans="1:5">
      <c r="A23" s="8" t="s">
        <v>42</v>
      </c>
      <c r="B23" s="9" t="s">
        <v>43</v>
      </c>
      <c r="C23" s="10">
        <v>140000</v>
      </c>
      <c r="D23" s="8">
        <v>1</v>
      </c>
      <c r="E23" s="10">
        <f t="shared" si="0"/>
        <v>140000</v>
      </c>
    </row>
    <row r="24" ht="30" spans="1:5">
      <c r="A24" s="8"/>
      <c r="B24" s="9" t="s">
        <v>44</v>
      </c>
      <c r="C24" s="10">
        <v>20000</v>
      </c>
      <c r="D24" s="8">
        <v>2</v>
      </c>
      <c r="E24" s="10">
        <f t="shared" ref="E24:E29" si="1">(C24*D24)</f>
        <v>40000</v>
      </c>
    </row>
    <row r="25" spans="1:5">
      <c r="A25" s="8"/>
      <c r="B25" s="9" t="s">
        <v>45</v>
      </c>
      <c r="C25" s="10">
        <v>60000</v>
      </c>
      <c r="D25" s="8">
        <v>2</v>
      </c>
      <c r="E25" s="10">
        <f t="shared" si="1"/>
        <v>120000</v>
      </c>
    </row>
    <row r="26" ht="30" spans="1:5">
      <c r="A26" s="8"/>
      <c r="B26" s="9" t="s">
        <v>46</v>
      </c>
      <c r="C26" s="10">
        <v>20000</v>
      </c>
      <c r="D26" s="8">
        <v>2</v>
      </c>
      <c r="E26" s="10">
        <f t="shared" si="1"/>
        <v>40000</v>
      </c>
    </row>
    <row r="27" spans="1:5">
      <c r="A27" s="8"/>
      <c r="B27" s="9" t="s">
        <v>47</v>
      </c>
      <c r="C27" s="10">
        <v>60000</v>
      </c>
      <c r="D27" s="8">
        <v>2</v>
      </c>
      <c r="E27" s="10">
        <f t="shared" si="1"/>
        <v>120000</v>
      </c>
    </row>
    <row r="28" spans="1:5">
      <c r="A28" s="8"/>
      <c r="B28" s="9" t="s">
        <v>48</v>
      </c>
      <c r="C28" s="10">
        <v>10000</v>
      </c>
      <c r="D28" s="8">
        <v>2</v>
      </c>
      <c r="E28" s="10">
        <f>(C28*D28)</f>
        <v>20000</v>
      </c>
    </row>
    <row r="29" spans="1:5">
      <c r="A29" s="8"/>
      <c r="B29" s="9" t="s">
        <v>49</v>
      </c>
      <c r="C29" s="10">
        <v>10000</v>
      </c>
      <c r="D29" s="8">
        <v>3</v>
      </c>
      <c r="E29" s="10">
        <f>(C29*D29)</f>
        <v>30000</v>
      </c>
    </row>
    <row r="30" spans="1:5">
      <c r="A30" s="8"/>
      <c r="B30" s="9" t="s">
        <v>50</v>
      </c>
      <c r="C30" s="10">
        <v>30000</v>
      </c>
      <c r="D30" s="8">
        <v>2</v>
      </c>
      <c r="E30" s="10">
        <f>(C30*D30)</f>
        <v>60000</v>
      </c>
    </row>
    <row r="31" spans="1:5">
      <c r="A31" s="8"/>
      <c r="B31" s="9" t="s">
        <v>51</v>
      </c>
      <c r="C31" s="10">
        <v>45000</v>
      </c>
      <c r="D31" s="8">
        <v>3</v>
      </c>
      <c r="E31" s="10">
        <f>(C31*D31)</f>
        <v>135000</v>
      </c>
    </row>
    <row r="32" spans="5:5">
      <c r="E32" s="10">
        <f>SUM(E3:E31)</f>
        <v>3053300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Nakivaale qualitative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kihumuro bernard ray</dc:creator>
  <cp:lastModifiedBy>malinga paddy</cp:lastModifiedBy>
  <dcterms:created xsi:type="dcterms:W3CDTF">2025-03-19T17:01:00Z</dcterms:created>
  <dcterms:modified xsi:type="dcterms:W3CDTF">2025-04-30T06:36:22Z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670ECE2D0EE14B029BD61578ACF362B9_11</vt:lpwstr>
  </property>
  <property fmtid="{D5CDD505-2E9C-101B-9397-08002B2CF9AE}" pid="3" name="KSOProductBuildVer">
    <vt:lpwstr>1033-12.2.0.20795</vt:lpwstr>
  </property>
</Properties>
</file>