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STMH\Receipts\Qualitative data receipts\"/>
    </mc:Choice>
  </mc:AlternateContent>
  <bookViews>
    <workbookView xWindow="0" yWindow="0" windowWidth="4850" windowHeight="1910"/>
  </bookViews>
  <sheets>
    <sheet name="Nakivaale qualitativ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8" i="2"/>
  <c r="E7" i="2"/>
  <c r="E6" i="2"/>
  <c r="E5" i="2"/>
  <c r="E3" i="2"/>
</calcChain>
</file>

<file path=xl/sharedStrings.xml><?xml version="1.0" encoding="utf-8"?>
<sst xmlns="http://schemas.openxmlformats.org/spreadsheetml/2006/main" count="36" uniqueCount="36">
  <si>
    <t>TOTAL</t>
  </si>
  <si>
    <t>NAKIVAALE QUALITATIVE EXPENDITURE</t>
  </si>
  <si>
    <t>DATE</t>
  </si>
  <si>
    <t>ITEM</t>
  </si>
  <si>
    <t>COST</t>
  </si>
  <si>
    <t xml:space="preserve">UNITS </t>
  </si>
  <si>
    <t>Sat 26/04</t>
  </si>
  <si>
    <t>transport to Global and to Mbarara</t>
  </si>
  <si>
    <t>Airtime for calls and coordination to in charges and among team</t>
  </si>
  <si>
    <t>Rent in Mbarara</t>
  </si>
  <si>
    <t>sun 27/04</t>
  </si>
  <si>
    <t>transport to nakivaale Isingiro</t>
  </si>
  <si>
    <t>Lunch (3RAs plus Celine +Mable)</t>
  </si>
  <si>
    <t>Printing stationary</t>
  </si>
  <si>
    <t>Transport from rent to Nakivaale HC III for planning meeting. (to and froom)</t>
  </si>
  <si>
    <t>Rent in Nakivaale</t>
  </si>
  <si>
    <t>Mon 28/04</t>
  </si>
  <si>
    <t>Transport</t>
  </si>
  <si>
    <t>Extra fuel</t>
  </si>
  <si>
    <t>Food allowance</t>
  </si>
  <si>
    <t>Mable allowance</t>
  </si>
  <si>
    <t>Celine allowance</t>
  </si>
  <si>
    <t>Kenneth allowance</t>
  </si>
  <si>
    <t>18 interview refund (participants)</t>
  </si>
  <si>
    <t>RAs Interview payments</t>
  </si>
  <si>
    <t>Rent in Isingiro</t>
  </si>
  <si>
    <t>Tue 29/04</t>
  </si>
  <si>
    <t>Transport to district and then to mbarara</t>
  </si>
  <si>
    <t>2 interviews done ( Participant reimbursement)</t>
  </si>
  <si>
    <t>RA interview payment</t>
  </si>
  <si>
    <t>2 Phone call interviews for in charges</t>
  </si>
  <si>
    <t>RAs refund for interviews</t>
  </si>
  <si>
    <t>Airtime for 2 interviews</t>
  </si>
  <si>
    <t>Lunch allowance</t>
  </si>
  <si>
    <t>Accomodation</t>
  </si>
  <si>
    <t>Transport to Kampala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</si>
</sst>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B3" sqref="B3"/>
    </sheetView>
  </sheetViews>
  <sheetFormatPr defaultColWidth="9.1796875" defaultRowHeight="14.5"/>
  <cols>
    <col min="1" max="1" width="11" customWidth="1"/>
    <col min="2" max="2" width="27.453125" style="2" customWidth="1"/>
    <col min="5" max="5" width="9.7265625"/>
  </cols>
  <sheetData>
    <row r="1" spans="1:5">
      <c r="A1" s="8" t="s">
        <v>1</v>
      </c>
      <c r="B1" s="9"/>
      <c r="C1" s="8"/>
      <c r="D1" s="8"/>
      <c r="E1" s="8"/>
    </row>
    <row r="2" spans="1:5" s="1" customFormat="1">
      <c r="A2" s="3" t="s">
        <v>2</v>
      </c>
      <c r="B2" s="4" t="s">
        <v>3</v>
      </c>
      <c r="C2" s="3" t="s">
        <v>4</v>
      </c>
      <c r="D2" s="3" t="s">
        <v>5</v>
      </c>
      <c r="E2" s="3" t="s">
        <v>0</v>
      </c>
    </row>
    <row r="3" spans="1:5" ht="29">
      <c r="A3" s="5" t="s">
        <v>6</v>
      </c>
      <c r="B3" s="6" t="s">
        <v>7</v>
      </c>
      <c r="C3" s="7">
        <v>45000</v>
      </c>
      <c r="D3" s="5">
        <v>3</v>
      </c>
      <c r="E3" s="7">
        <f>(C3*D3)</f>
        <v>135000</v>
      </c>
    </row>
    <row r="4" spans="1:5" ht="43.5">
      <c r="A4" s="5"/>
      <c r="B4" s="6" t="s">
        <v>8</v>
      </c>
      <c r="C4" s="7">
        <v>20000</v>
      </c>
      <c r="D4" s="5">
        <v>1</v>
      </c>
      <c r="E4" s="7">
        <v>20000</v>
      </c>
    </row>
    <row r="5" spans="1:5">
      <c r="A5" s="5"/>
      <c r="B5" s="6" t="s">
        <v>9</v>
      </c>
      <c r="C5" s="7">
        <v>30000</v>
      </c>
      <c r="D5" s="5">
        <v>3</v>
      </c>
      <c r="E5" s="7">
        <f>(C5*D5)</f>
        <v>90000</v>
      </c>
    </row>
    <row r="6" spans="1:5">
      <c r="A6" s="5"/>
      <c r="B6" s="6"/>
      <c r="C6" s="5"/>
      <c r="D6" s="5"/>
      <c r="E6" s="7">
        <f>(C6*D6)</f>
        <v>0</v>
      </c>
    </row>
    <row r="7" spans="1:5">
      <c r="A7" s="5" t="s">
        <v>10</v>
      </c>
      <c r="B7" s="6" t="s">
        <v>11</v>
      </c>
      <c r="C7" s="7">
        <v>90000</v>
      </c>
      <c r="D7" s="5">
        <v>1</v>
      </c>
      <c r="E7" s="7">
        <f>(C7*D7)</f>
        <v>90000</v>
      </c>
    </row>
    <row r="8" spans="1:5" ht="29">
      <c r="A8" s="5"/>
      <c r="B8" s="6" t="s">
        <v>12</v>
      </c>
      <c r="C8" s="7">
        <v>10000</v>
      </c>
      <c r="D8" s="5">
        <v>5</v>
      </c>
      <c r="E8" s="7">
        <f>(C8*D8)</f>
        <v>50000</v>
      </c>
    </row>
    <row r="9" spans="1:5">
      <c r="A9" s="5"/>
      <c r="B9" s="6" t="s">
        <v>13</v>
      </c>
      <c r="C9" s="5">
        <v>27300</v>
      </c>
      <c r="D9" s="5">
        <v>1</v>
      </c>
      <c r="E9" s="7">
        <v>27300</v>
      </c>
    </row>
    <row r="10" spans="1:5" ht="43.5">
      <c r="A10" s="5"/>
      <c r="B10" s="6" t="s">
        <v>14</v>
      </c>
      <c r="C10" s="5">
        <v>1000</v>
      </c>
      <c r="D10" s="5">
        <v>6</v>
      </c>
      <c r="E10" s="7">
        <f t="shared" ref="E10:E23" si="0">(C10*D10)</f>
        <v>6000</v>
      </c>
    </row>
    <row r="11" spans="1:5">
      <c r="A11" s="5"/>
      <c r="B11" s="6" t="s">
        <v>15</v>
      </c>
      <c r="C11" s="7">
        <v>20000</v>
      </c>
      <c r="D11" s="5">
        <v>3</v>
      </c>
      <c r="E11" s="7">
        <f t="shared" si="0"/>
        <v>60000</v>
      </c>
    </row>
    <row r="12" spans="1:5">
      <c r="A12" s="5"/>
      <c r="B12" s="6"/>
      <c r="C12" s="5"/>
      <c r="D12" s="5"/>
      <c r="E12" s="7">
        <f t="shared" si="0"/>
        <v>0</v>
      </c>
    </row>
    <row r="13" spans="1:5">
      <c r="A13" s="5" t="s">
        <v>16</v>
      </c>
      <c r="B13" s="6" t="s">
        <v>17</v>
      </c>
      <c r="C13" s="7">
        <v>100000</v>
      </c>
      <c r="D13" s="5">
        <v>1</v>
      </c>
      <c r="E13" s="7">
        <f t="shared" si="0"/>
        <v>100000</v>
      </c>
    </row>
    <row r="14" spans="1:5">
      <c r="A14" s="5"/>
      <c r="B14" s="6" t="s">
        <v>18</v>
      </c>
      <c r="C14" s="7">
        <v>40000</v>
      </c>
      <c r="D14" s="5">
        <v>1</v>
      </c>
      <c r="E14" s="7">
        <f t="shared" si="0"/>
        <v>40000</v>
      </c>
    </row>
    <row r="15" spans="1:5">
      <c r="A15" s="5"/>
      <c r="B15" s="6" t="s">
        <v>19</v>
      </c>
      <c r="C15" s="7">
        <v>10000</v>
      </c>
      <c r="D15" s="5">
        <v>5</v>
      </c>
      <c r="E15" s="7">
        <f t="shared" si="0"/>
        <v>50000</v>
      </c>
    </row>
    <row r="16" spans="1:5">
      <c r="A16" s="5"/>
      <c r="B16" s="6" t="s">
        <v>20</v>
      </c>
      <c r="C16" s="7">
        <v>50000</v>
      </c>
      <c r="D16" s="5">
        <v>1</v>
      </c>
      <c r="E16" s="7">
        <f t="shared" si="0"/>
        <v>50000</v>
      </c>
    </row>
    <row r="17" spans="1:5">
      <c r="A17" s="5"/>
      <c r="B17" s="6" t="s">
        <v>21</v>
      </c>
      <c r="C17" s="7">
        <v>50000</v>
      </c>
      <c r="D17" s="5">
        <v>1</v>
      </c>
      <c r="E17" s="7">
        <f t="shared" si="0"/>
        <v>50000</v>
      </c>
    </row>
    <row r="18" spans="1:5">
      <c r="A18" s="5"/>
      <c r="B18" s="6" t="s">
        <v>22</v>
      </c>
      <c r="C18" s="7">
        <v>50000</v>
      </c>
      <c r="D18" s="5">
        <v>1</v>
      </c>
      <c r="E18" s="7">
        <f t="shared" si="0"/>
        <v>50000</v>
      </c>
    </row>
    <row r="19" spans="1:5" ht="29">
      <c r="A19" s="5"/>
      <c r="B19" s="6" t="s">
        <v>23</v>
      </c>
      <c r="C19" s="7">
        <v>20000</v>
      </c>
      <c r="D19" s="5">
        <v>18</v>
      </c>
      <c r="E19" s="7">
        <f t="shared" si="0"/>
        <v>360000</v>
      </c>
    </row>
    <row r="20" spans="1:5">
      <c r="A20" s="5"/>
      <c r="B20" s="6" t="s">
        <v>24</v>
      </c>
      <c r="C20" s="7">
        <v>60000</v>
      </c>
      <c r="D20" s="5">
        <v>18</v>
      </c>
      <c r="E20" s="7">
        <f t="shared" si="0"/>
        <v>1080000</v>
      </c>
    </row>
    <row r="21" spans="1:5">
      <c r="A21" s="5"/>
      <c r="B21" s="6" t="s">
        <v>25</v>
      </c>
      <c r="C21" s="7">
        <v>30000</v>
      </c>
      <c r="D21" s="5">
        <v>3</v>
      </c>
      <c r="E21" s="7">
        <f t="shared" si="0"/>
        <v>90000</v>
      </c>
    </row>
    <row r="22" spans="1:5">
      <c r="A22" s="5"/>
      <c r="B22" s="6"/>
      <c r="C22" s="5"/>
      <c r="D22" s="5"/>
      <c r="E22" s="7">
        <f t="shared" si="0"/>
        <v>0</v>
      </c>
    </row>
    <row r="23" spans="1:5" ht="29">
      <c r="A23" s="5" t="s">
        <v>26</v>
      </c>
      <c r="B23" s="6" t="s">
        <v>27</v>
      </c>
      <c r="C23" s="7">
        <v>140000</v>
      </c>
      <c r="D23" s="5">
        <v>1</v>
      </c>
      <c r="E23" s="7">
        <f t="shared" si="0"/>
        <v>140000</v>
      </c>
    </row>
    <row r="24" spans="1:5" ht="29">
      <c r="A24" s="5"/>
      <c r="B24" s="6" t="s">
        <v>28</v>
      </c>
      <c r="C24" s="7">
        <v>20000</v>
      </c>
      <c r="D24" s="5">
        <v>2</v>
      </c>
      <c r="E24" s="7">
        <f t="shared" ref="E24:E27" si="1">(C24*D24)</f>
        <v>40000</v>
      </c>
    </row>
    <row r="25" spans="1:5">
      <c r="A25" s="5"/>
      <c r="B25" s="6" t="s">
        <v>29</v>
      </c>
      <c r="C25" s="7">
        <v>60000</v>
      </c>
      <c r="D25" s="5">
        <v>2</v>
      </c>
      <c r="E25" s="7">
        <f t="shared" si="1"/>
        <v>120000</v>
      </c>
    </row>
    <row r="26" spans="1:5" ht="29">
      <c r="A26" s="5"/>
      <c r="B26" s="6" t="s">
        <v>30</v>
      </c>
      <c r="C26" s="7">
        <v>20000</v>
      </c>
      <c r="D26" s="5">
        <v>2</v>
      </c>
      <c r="E26" s="7">
        <f t="shared" si="1"/>
        <v>40000</v>
      </c>
    </row>
    <row r="27" spans="1:5">
      <c r="A27" s="5"/>
      <c r="B27" s="6" t="s">
        <v>31</v>
      </c>
      <c r="C27" s="7">
        <v>60000</v>
      </c>
      <c r="D27" s="5">
        <v>2</v>
      </c>
      <c r="E27" s="7">
        <f t="shared" si="1"/>
        <v>120000</v>
      </c>
    </row>
    <row r="28" spans="1:5">
      <c r="A28" s="5"/>
      <c r="B28" s="6" t="s">
        <v>32</v>
      </c>
      <c r="C28" s="7">
        <v>10000</v>
      </c>
      <c r="D28" s="5">
        <v>2</v>
      </c>
      <c r="E28" s="7">
        <f>(C28*D28)</f>
        <v>20000</v>
      </c>
    </row>
    <row r="29" spans="1:5">
      <c r="A29" s="5"/>
      <c r="B29" s="6" t="s">
        <v>33</v>
      </c>
      <c r="C29" s="7">
        <v>10000</v>
      </c>
      <c r="D29" s="5">
        <v>3</v>
      </c>
      <c r="E29" s="7">
        <f>(C29*D29)</f>
        <v>30000</v>
      </c>
    </row>
    <row r="30" spans="1:5">
      <c r="A30" s="5"/>
      <c r="B30" s="6" t="s">
        <v>34</v>
      </c>
      <c r="C30" s="7">
        <v>30000</v>
      </c>
      <c r="D30" s="5">
        <v>2</v>
      </c>
      <c r="E30" s="7">
        <f>(C30*D30)</f>
        <v>60000</v>
      </c>
    </row>
    <row r="31" spans="1:5">
      <c r="A31" s="5"/>
      <c r="B31" s="6" t="s">
        <v>35</v>
      </c>
      <c r="C31" s="7">
        <v>45000</v>
      </c>
      <c r="D31" s="5">
        <v>3</v>
      </c>
      <c r="E31" s="7">
        <f>(C31*D31)</f>
        <v>135000</v>
      </c>
    </row>
    <row r="32" spans="1:5">
      <c r="E32" s="7">
        <f>SUM(E3:E31)</f>
        <v>3053300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Nakivaale qualitative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kihumuro bernard ray</dc:creator>
  <cp:lastModifiedBy>ELVIS TAMALE</cp:lastModifiedBy>
  <dcterms:created xsi:type="dcterms:W3CDTF">2025-03-19T17:01:00Z</dcterms:created>
  <dcterms:modified xsi:type="dcterms:W3CDTF">2025-06-27T12:41:09Z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670ECE2D0EE14B029BD61578ACF362B9_11</vt:lpwstr>
  </property>
  <property fmtid="{D5CDD505-2E9C-101B-9397-08002B2CF9AE}" pid="3" name="KSOProductBuildVer">
    <vt:lpwstr>1033-12.2.0.20795</vt:lpwstr>
  </property>
</Properties>
</file>